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ph\OneDrive\Documents\Personal\"/>
    </mc:Choice>
  </mc:AlternateContent>
  <xr:revisionPtr revIDLastSave="0" documentId="13_ncr:1_{6B7486CE-2CB3-46D3-AD50-44B5639B5E45}" xr6:coauthVersionLast="47" xr6:coauthVersionMax="47" xr10:uidLastSave="{00000000-0000-0000-0000-000000000000}"/>
  <workbookProtection workbookAlgorithmName="SHA-512" workbookHashValue="U2cq71/PgXgCj5M25tsTJ4uN2OVO0PPLKgLZ9NTT6pGCzLXytZswWDzDifPpsVU3Wbq6PsZ06g+dNi7btLTzPA==" workbookSaltValue="JepOXH/y5TEG50GWC/UG1Q==" workbookSpinCount="100000" lockStructure="1"/>
  <bookViews>
    <workbookView xWindow="-105" yWindow="0" windowWidth="29010" windowHeight="15585" xr2:uid="{88904CA7-1A8B-40B4-A864-3AD789EF10D9}"/>
  </bookViews>
  <sheets>
    <sheet name="NPV (Nov '25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  <c r="C12" i="1" s="1"/>
  <c r="D10" i="1"/>
  <c r="D23" i="1"/>
  <c r="C23" i="1"/>
  <c r="D12" i="1" l="1"/>
  <c r="D14" i="1" s="1"/>
  <c r="D15" i="1" s="1"/>
  <c r="D17" i="1" s="1"/>
  <c r="C14" i="1"/>
  <c r="C15" i="1" s="1"/>
  <c r="C17" i="1" s="1"/>
  <c r="D19" i="1" a="1"/>
  <c r="C19" i="1" a="1"/>
  <c r="D19" i="1" l="1"/>
  <c r="D25" i="1" s="1"/>
  <c r="D24" i="1" s="1"/>
  <c r="C19" i="1"/>
  <c r="D27" i="1" l="1"/>
  <c r="D29" i="1" s="1"/>
  <c r="C25" i="1"/>
  <c r="C27" i="1" s="1"/>
  <c r="C29" i="1" l="1"/>
  <c r="C2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<sst xmlns="http://schemas.openxmlformats.org/spreadsheetml/2006/main" count="27" uniqueCount="27">
  <si>
    <t>Reserves (Moz)</t>
  </si>
  <si>
    <t>Mine life</t>
  </si>
  <si>
    <t>Av price of gold over production ($)</t>
  </si>
  <si>
    <t>Net cashflow, total TKGM ($)</t>
  </si>
  <si>
    <t>Average annual cashflow, KEFI (£)</t>
  </si>
  <si>
    <t>Annual cashflow after risk</t>
  </si>
  <si>
    <t>Discount rate for time</t>
  </si>
  <si>
    <t>NPV for Tulu Kapi</t>
  </si>
  <si>
    <t>Number of shares in issue</t>
  </si>
  <si>
    <t>NPV per share</t>
  </si>
  <si>
    <t>Discount for disparity between NPV and mcap</t>
  </si>
  <si>
    <t>Theoretical share price, post finance de-risk</t>
  </si>
  <si>
    <t>Discount, risk of finance not happening</t>
  </si>
  <si>
    <t>Theoretical share price, today</t>
  </si>
  <si>
    <t>Net cashflow, total KEFI (£) (£0.80 = $1)</t>
  </si>
  <si>
    <t>Discount for jurisdictional risk</t>
  </si>
  <si>
    <t>Exchange rate (value in £ of $1)</t>
  </si>
  <si>
    <t>Warrants</t>
  </si>
  <si>
    <t>Value of Warrants</t>
  </si>
  <si>
    <r>
      <t>KEFI NPV Calculator</t>
    </r>
    <r>
      <rPr>
        <b/>
        <u/>
        <sz val="11"/>
        <color theme="0"/>
        <rFont val="Calibri"/>
        <family val="2"/>
        <scheme val="minor"/>
      </rPr>
      <t xml:space="preserve"> (StephenX)</t>
    </r>
  </si>
  <si>
    <t>Mcap</t>
  </si>
  <si>
    <t>Valuation of SA assets, other lincenses, etc</t>
  </si>
  <si>
    <t>AISC ($), inc debt repayment</t>
  </si>
  <si>
    <t>KEFI Equity in TKGM</t>
  </si>
  <si>
    <t>Net cashflow, total KEFI portion ($)</t>
  </si>
  <si>
    <t>Base case</t>
  </si>
  <si>
    <t>Blue Sky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</si>
</sst>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-[$$-409]* #,##0.00_ ;_-[$$-409]* \-#,##0.00\ ;_-[$$-409]* &quot;-&quot;??_ ;_-@_ "/>
    <numFmt numFmtId="165" formatCode="_-[$£-809]* #,##0.00_-;\-[$£-809]* #,##0.00_-;_-[$£-809]* &quot;-&quot;??_-;_-@_-"/>
    <numFmt numFmtId="166" formatCode="_-&quot;£&quot;* #,##0.0000_-;\-&quot;£&quot;* #,##0.0000_-;_-&quot;£&quot;* &quot;-&quot;??_-;_-@_-"/>
    <numFmt numFmtId="167" formatCode="_-&quot;£&quot;* #,##0.000_-;\-&quot;£&quot;* #,##0.000_-;_-&quot;£&quot;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8">
    <xf numFmtId="0" fontId="0" fillId="0" borderId="0" xfId="0"/>
    <xf numFmtId="0" fontId="3" fillId="0" borderId="0" xfId="0" applyFont="1"/>
    <xf numFmtId="0" fontId="2" fillId="0" borderId="0" xfId="0" applyFont="1"/>
    <xf numFmtId="166" fontId="0" fillId="0" borderId="0" xfId="1" applyNumberFormat="1" applyFont="1"/>
    <xf numFmtId="164" fontId="0" fillId="3" borderId="0" xfId="0" applyNumberFormat="1" applyFill="1"/>
    <xf numFmtId="165" fontId="0" fillId="3" borderId="0" xfId="0" applyNumberFormat="1" applyFill="1"/>
    <xf numFmtId="0" fontId="2" fillId="0" borderId="0" xfId="0" applyFont="1" applyAlignment="1">
      <alignment horizontal="center"/>
    </xf>
    <xf numFmtId="44" fontId="2" fillId="4" borderId="0" xfId="0" applyNumberFormat="1" applyFont="1" applyFill="1"/>
    <xf numFmtId="0" fontId="0" fillId="2" borderId="0" xfId="0" applyFill="1" applyProtection="1">
      <protection locked="0"/>
    </xf>
    <xf numFmtId="164" fontId="0" fillId="2" borderId="0" xfId="0" applyNumberFormat="1" applyFill="1" applyProtection="1">
      <protection locked="0"/>
    </xf>
    <xf numFmtId="9" fontId="0" fillId="2" borderId="0" xfId="0" applyNumberFormat="1" applyFill="1" applyProtection="1">
      <protection locked="0"/>
    </xf>
    <xf numFmtId="9" fontId="0" fillId="2" borderId="0" xfId="2" applyFont="1" applyFill="1" applyProtection="1">
      <protection locked="0"/>
    </xf>
    <xf numFmtId="44" fontId="0" fillId="2" borderId="0" xfId="1" applyFont="1" applyFill="1" applyProtection="1">
      <protection locked="0"/>
    </xf>
    <xf numFmtId="165" fontId="0" fillId="2" borderId="0" xfId="0" applyNumberFormat="1" applyFill="1" applyProtection="1">
      <protection locked="0"/>
    </xf>
    <xf numFmtId="43" fontId="0" fillId="3" borderId="0" xfId="3" applyFont="1" applyFill="1"/>
    <xf numFmtId="44" fontId="2" fillId="5" borderId="0" xfId="0" applyNumberFormat="1" applyFont="1" applyFill="1"/>
    <xf numFmtId="167" fontId="0" fillId="3" borderId="0" xfId="0" applyNumberFormat="1" applyFill="1"/>
    <xf numFmtId="43" fontId="0" fillId="0" borderId="0" xfId="0" applyNumberFormat="1"/>
  </cellXfs>
  <cellStyles count="4">
    <cellStyle name="Comma" xfId="3" builtinId="3"/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4B21B-4DDE-461C-B6DF-98E7F2F3FD6D}">
  <dimension ref="B3:F32"/>
  <sheetViews>
    <sheetView tabSelected="1" workbookViewId="0">
      <selection activeCell="D6" sqref="D6"/>
    </sheetView>
  </sheetViews>
  <sheetFormatPr defaultRowHeight="15" x14ac:dyDescent="0.25"/>
  <cols>
    <col min="2" max="2" width="42.5703125" bestFit="1" customWidth="1"/>
    <col min="3" max="4" width="19" bestFit="1" customWidth="1"/>
    <col min="5" max="5" width="27.5703125" bestFit="1" customWidth="1"/>
    <col min="6" max="6" width="16.85546875" bestFit="1" customWidth="1"/>
  </cols>
  <sheetData>
    <row r="3" spans="2:4" x14ac:dyDescent="0.25">
      <c r="B3" s="1" t="s">
        <v>19</v>
      </c>
    </row>
    <row r="5" spans="2:4" x14ac:dyDescent="0.25">
      <c r="C5" s="6" t="s">
        <v>25</v>
      </c>
      <c r="D5" s="6" t="s">
        <v>26</v>
      </c>
    </row>
    <row r="6" spans="2:4" x14ac:dyDescent="0.25">
      <c r="B6" t="s">
        <v>0</v>
      </c>
      <c r="C6" s="8">
        <v>1</v>
      </c>
      <c r="D6" s="8">
        <v>3</v>
      </c>
    </row>
    <row r="7" spans="2:4" x14ac:dyDescent="0.25">
      <c r="B7" t="s">
        <v>1</v>
      </c>
      <c r="C7" s="8">
        <v>7</v>
      </c>
      <c r="D7" s="8">
        <v>12</v>
      </c>
    </row>
    <row r="8" spans="2:4" x14ac:dyDescent="0.25">
      <c r="B8" t="s">
        <v>2</v>
      </c>
      <c r="C8" s="9">
        <v>4000</v>
      </c>
      <c r="D8" s="9">
        <v>4000</v>
      </c>
    </row>
    <row r="9" spans="2:4" x14ac:dyDescent="0.25">
      <c r="B9" t="s">
        <v>22</v>
      </c>
      <c r="C9" s="9">
        <v>1000</v>
      </c>
      <c r="D9" s="9">
        <v>850</v>
      </c>
    </row>
    <row r="10" spans="2:4" x14ac:dyDescent="0.25">
      <c r="B10" t="s">
        <v>3</v>
      </c>
      <c r="C10" s="4">
        <f>1000000*C6*(C8-C9)</f>
        <v>3000000000</v>
      </c>
      <c r="D10" s="4">
        <f>1000000*D6*(D8-D9)</f>
        <v>9450000000</v>
      </c>
    </row>
    <row r="11" spans="2:4" x14ac:dyDescent="0.25">
      <c r="B11" t="s">
        <v>23</v>
      </c>
      <c r="C11" s="11">
        <v>0.8</v>
      </c>
      <c r="D11" s="11">
        <v>0.8</v>
      </c>
    </row>
    <row r="12" spans="2:4" x14ac:dyDescent="0.25">
      <c r="B12" t="s">
        <v>24</v>
      </c>
      <c r="C12" s="4">
        <f>C10*C11</f>
        <v>2400000000</v>
      </c>
      <c r="D12" s="4">
        <f>D10*D11</f>
        <v>7560000000</v>
      </c>
    </row>
    <row r="13" spans="2:4" x14ac:dyDescent="0.25">
      <c r="B13" t="s">
        <v>16</v>
      </c>
      <c r="C13" s="13">
        <v>0.76</v>
      </c>
      <c r="D13" s="13">
        <v>0.76</v>
      </c>
    </row>
    <row r="14" spans="2:4" x14ac:dyDescent="0.25">
      <c r="B14" t="s">
        <v>14</v>
      </c>
      <c r="C14" s="5">
        <f>C12*C13</f>
        <v>1824000000</v>
      </c>
      <c r="D14" s="5">
        <f>D12*D13</f>
        <v>5745600000</v>
      </c>
    </row>
    <row r="15" spans="2:4" x14ac:dyDescent="0.25">
      <c r="B15" t="s">
        <v>4</v>
      </c>
      <c r="C15" s="5">
        <f>C14/C7</f>
        <v>260571428.57142857</v>
      </c>
      <c r="D15" s="5">
        <f>D14/D7</f>
        <v>478800000</v>
      </c>
    </row>
    <row r="16" spans="2:4" x14ac:dyDescent="0.25">
      <c r="B16" t="s">
        <v>15</v>
      </c>
      <c r="C16" s="10">
        <v>0.1</v>
      </c>
      <c r="D16" s="10">
        <v>0.1</v>
      </c>
    </row>
    <row r="17" spans="2:6" x14ac:dyDescent="0.25">
      <c r="B17" t="s">
        <v>5</v>
      </c>
      <c r="C17" s="5">
        <f>C15*(1-C16)</f>
        <v>234514285.7142857</v>
      </c>
      <c r="D17" s="5">
        <f>D15*(1-D16)</f>
        <v>430920000</v>
      </c>
    </row>
    <row r="18" spans="2:6" x14ac:dyDescent="0.25">
      <c r="B18" t="s">
        <v>6</v>
      </c>
      <c r="C18" s="11">
        <v>0.1</v>
      </c>
      <c r="D18" s="11">
        <v>0.1</v>
      </c>
    </row>
    <row r="19" spans="2:6" x14ac:dyDescent="0.25">
      <c r="B19" t="s">
        <v>7</v>
      </c>
      <c r="C19" s="5" cm="1">
        <f t="array" aca="1" ref="C19" ca="1">SUMPRODUCT(C17/(1+C18)^(ROW(INDIRECT("1:"&amp;C7))))</f>
        <v>1141713761.5892448</v>
      </c>
      <c r="D19" s="5" cm="1">
        <f t="array" aca="1" ref="D19" ca="1">SUMPRODUCT(D17/(1+D18)^(ROW(INDIRECT("1:"&amp;D7))))</f>
        <v>2936156080.3225293</v>
      </c>
    </row>
    <row r="20" spans="2:6" x14ac:dyDescent="0.25">
      <c r="B20" t="s">
        <v>21</v>
      </c>
      <c r="C20" s="12">
        <v>100000000</v>
      </c>
      <c r="D20" s="12">
        <v>100000000</v>
      </c>
    </row>
    <row r="21" spans="2:6" x14ac:dyDescent="0.25">
      <c r="B21" t="s">
        <v>8</v>
      </c>
      <c r="C21" s="14">
        <v>9527757766</v>
      </c>
      <c r="D21" s="14">
        <v>9527757766</v>
      </c>
      <c r="F21" s="17"/>
    </row>
    <row r="22" spans="2:6" x14ac:dyDescent="0.25">
      <c r="B22" t="s">
        <v>17</v>
      </c>
      <c r="C22" s="14">
        <v>65982273</v>
      </c>
      <c r="D22" s="14">
        <v>65982273</v>
      </c>
      <c r="E22" s="17"/>
      <c r="F22" s="17"/>
    </row>
    <row r="23" spans="2:6" x14ac:dyDescent="0.25">
      <c r="B23" t="s">
        <v>18</v>
      </c>
      <c r="C23" s="5">
        <f>C22*0.007</f>
        <v>461875.91100000002</v>
      </c>
      <c r="D23" s="5">
        <f>D22*0.007</f>
        <v>461875.91100000002</v>
      </c>
    </row>
    <row r="24" spans="2:6" x14ac:dyDescent="0.25">
      <c r="B24" t="s">
        <v>20</v>
      </c>
      <c r="C24" s="5">
        <f ca="1">C25*(C22+C21)</f>
        <v>1242175637.5002449</v>
      </c>
      <c r="D24" s="5">
        <f ca="1">D25*(D22+D21)</f>
        <v>3036617956.2335291</v>
      </c>
    </row>
    <row r="25" spans="2:6" x14ac:dyDescent="0.25">
      <c r="B25" t="s">
        <v>9</v>
      </c>
      <c r="C25" s="16">
        <f ca="1">(C19+C20+C23)/(C21+C22)</f>
        <v>0.12947772531365387</v>
      </c>
      <c r="D25" s="16">
        <f ca="1">(D19+D20+D23)/(D21+D22)</f>
        <v>0.31652076707198851</v>
      </c>
    </row>
    <row r="26" spans="2:6" x14ac:dyDescent="0.25">
      <c r="B26" t="s">
        <v>10</v>
      </c>
      <c r="C26" s="10">
        <v>0.2</v>
      </c>
      <c r="D26" s="10">
        <v>0.2</v>
      </c>
    </row>
    <row r="27" spans="2:6" x14ac:dyDescent="0.25">
      <c r="B27" s="2" t="s">
        <v>11</v>
      </c>
      <c r="C27" s="7">
        <f ca="1">C25*(1-C26)</f>
        <v>0.1035821802509231</v>
      </c>
      <c r="D27" s="7">
        <f ca="1">D25*(1-D26)</f>
        <v>0.25321661365759079</v>
      </c>
    </row>
    <row r="28" spans="2:6" hidden="1" x14ac:dyDescent="0.25">
      <c r="B28" t="s">
        <v>12</v>
      </c>
      <c r="C28" s="10">
        <v>0.2</v>
      </c>
      <c r="D28" s="10">
        <v>0.2</v>
      </c>
    </row>
    <row r="29" spans="2:6" hidden="1" x14ac:dyDescent="0.25">
      <c r="B29" s="2" t="s">
        <v>13</v>
      </c>
      <c r="C29" s="15">
        <f ca="1">C27*(1-C28)</f>
        <v>8.2865744200738486E-2</v>
      </c>
      <c r="D29" s="15">
        <f ca="1">D27*(1-D28)</f>
        <v>0.20257329092607265</v>
      </c>
    </row>
    <row r="32" spans="2:6" x14ac:dyDescent="0.25">
      <c r="C32" s="3"/>
      <c r="D32" s="3"/>
    </row>
  </sheetData>
  <sheetProtection algorithmName="SHA-512" hashValue="1U9wZE1fru3nbWyKfT1ZB75XiPLQDWrkeYBK9VcetcVp0uSjPSCurow3ekbHW/KdzA0HfH8dvb5VaYPutDu4cQ==" saltValue="lGuB2cx4ZZBs36pQNvj5fA==" spinCount="100000" sheet="1" formatCells="0" selectLockedCells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NPV (Nov '25)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Buchanan</dc:creator>
  <cp:lastModifiedBy>Stephen Buchanan</cp:lastModifiedBy>
  <dcterms:created xsi:type="dcterms:W3CDTF">2025-09-15T14:55:15Z</dcterms:created>
  <dcterms:modified xsi:type="dcterms:W3CDTF">2025-11-18T15:29:58Z</dcterms:modified>
</cp:coreProperties>
</file>