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\OneDrive\Documents\Personal\"/>
    </mc:Choice>
  </mc:AlternateContent>
  <xr:revisionPtr revIDLastSave="0" documentId="13_ncr:1_{B1D61A26-511C-49D3-AEF4-BAFDDEF7FB18}" xr6:coauthVersionLast="47" xr6:coauthVersionMax="47" xr10:uidLastSave="{00000000-0000-0000-0000-000000000000}"/>
  <workbookProtection workbookAlgorithmName="SHA-512" workbookHashValue="MaLUepoQQ924bAABdMlPvSe4ihmrWjDn8GzJcGJYM/kGBRnX+C074Dm3Vk/f9KBhqLPd/Hd9vcb/IeJKA9pHcg==" workbookSaltValue="Z0GJoQUoFCi9MlPFK2dPAA==" workbookSpinCount="100000" lockStructure="1"/>
  <bookViews>
    <workbookView xWindow="-105" yWindow="0" windowWidth="29010" windowHeight="15585" xr2:uid="{88904CA7-1A8B-40B4-A864-3AD789EF10D9}"/>
  </bookViews>
  <sheets>
    <sheet name="NPV (Sep '25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10" i="1"/>
  <c r="C11" i="1" s="1"/>
  <c r="C13" i="1" s="1"/>
  <c r="C14" i="1" l="1"/>
  <c r="C16" i="1" s="1"/>
  <c r="C18" i="1" a="1"/>
  <c r="C18" i="1" l="1"/>
  <c r="C23" i="1" l="1"/>
  <c r="C25" i="1" s="1"/>
  <c r="C2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<sst xmlns="http://schemas.openxmlformats.org/spreadsheetml/2006/main" count="25" uniqueCount="25">
  <si>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Reserves (Moz)</t>
  </si>
  <si>
    <t>Mine life</t>
  </si>
  <si>
    <t>Av price of gold over production ($)</t>
  </si>
  <si>
    <t>AISC ($)</t>
  </si>
  <si>
    <t>(royalty in proportion to PoG)</t>
  </si>
  <si>
    <t>Net cashflow, total TKGM ($)</t>
  </si>
  <si>
    <t>Net cashflow, total KEFI ($) (80% Equity)</t>
  </si>
  <si>
    <t>Average annual cashflow, KEFI (£)</t>
  </si>
  <si>
    <t>Annual cashflow after risk</t>
  </si>
  <si>
    <t>Discount rate for time</t>
  </si>
  <si>
    <t>NPV for Tulu Kapi</t>
  </si>
  <si>
    <t>Valuation of SA assets</t>
  </si>
  <si>
    <t>Number of shares in issue</t>
  </si>
  <si>
    <t>NPV per share</t>
  </si>
  <si>
    <t>Discount for disparity between NPV and mcap</t>
  </si>
  <si>
    <t>Theoretical share price, post finance de-risk</t>
  </si>
  <si>
    <t>Discount, risk of finance not happening</t>
  </si>
  <si>
    <t>Theoretical share price, today</t>
  </si>
  <si>
    <t>Net cashflow, total KEFI (£) (£0.80 = $1)</t>
  </si>
  <si>
    <t>Figures</t>
  </si>
  <si>
    <t>Discount for jurisdictional risk</t>
  </si>
  <si>
    <t>Exchange rate (value in £ of $1)</t>
  </si>
  <si>
    <t>Warrants</t>
  </si>
  <si>
    <t>Value of Warrants</t>
  </si>
  <si>
    <r>
      <t>KEFI NPV Calculator</t>
    </r>
    <r>
      <rPr>
        <b/>
        <u/>
        <sz val="11"/>
        <color theme="0"/>
        <rFont val="Calibri"/>
        <family val="2"/>
        <scheme val="minor"/>
      </rPr>
      <t xml:space="preserve"> (StephenX)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</si>
</sst>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£-809]* #,##0.00_-;\-[$£-809]* #,##0.00_-;_-[$£-809]* &quot;-&quot;??_-;_-@_-"/>
    <numFmt numFmtId="166" formatCode="_-&quot;£&quot;* #,##0.0000_-;\-&quot;£&quot;* #,##0.0000_-;_-&quot;£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2" fillId="0" borderId="0" xfId="0" applyFont="1"/>
    <xf numFmtId="166" fontId="0" fillId="0" borderId="0" xfId="1" applyNumberFormat="1" applyFont="1"/>
    <xf numFmtId="164" fontId="0" fillId="3" borderId="0" xfId="0" applyNumberFormat="1" applyFill="1"/>
    <xf numFmtId="165" fontId="0" fillId="3" borderId="0" xfId="0" applyNumberFormat="1" applyFill="1"/>
    <xf numFmtId="44" fontId="0" fillId="3" borderId="0" xfId="0" applyNumberFormat="1" applyFill="1"/>
    <xf numFmtId="0" fontId="2" fillId="0" borderId="0" xfId="0" applyFont="1" applyAlignment="1">
      <alignment horizontal="center"/>
    </xf>
    <xf numFmtId="44" fontId="2" fillId="4" borderId="0" xfId="0" applyNumberFormat="1" applyFont="1" applyFill="1"/>
    <xf numFmtId="0" fontId="0" fillId="2" borderId="0" xfId="0" applyFill="1" applyProtection="1">
      <protection locked="0"/>
    </xf>
    <xf numFmtId="164" fontId="0" fillId="2" borderId="0" xfId="0" applyNumberFormat="1" applyFill="1" applyProtection="1">
      <protection locked="0"/>
    </xf>
    <xf numFmtId="9" fontId="0" fillId="2" borderId="0" xfId="0" applyNumberFormat="1" applyFill="1" applyProtection="1">
      <protection locked="0"/>
    </xf>
    <xf numFmtId="9" fontId="0" fillId="2" borderId="0" xfId="2" applyFont="1" applyFill="1" applyProtection="1">
      <protection locked="0"/>
    </xf>
    <xf numFmtId="44" fontId="0" fillId="2" borderId="0" xfId="1" applyFont="1" applyFill="1" applyProtection="1">
      <protection locked="0"/>
    </xf>
    <xf numFmtId="165" fontId="0" fillId="2" borderId="0" xfId="0" applyNumberFormat="1" applyFill="1" applyProtection="1">
      <protection locked="0"/>
    </xf>
    <xf numFmtId="43" fontId="0" fillId="3" borderId="0" xfId="3" applyFont="1" applyFill="1"/>
    <xf numFmtId="44" fontId="2" fillId="5" borderId="0" xfId="0" applyNumberFormat="1" applyFont="1" applyFill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B21B-4DDE-461C-B6DF-98E7F2F3FD6D}">
  <dimension ref="B3:D30"/>
  <sheetViews>
    <sheetView tabSelected="1" workbookViewId="0">
      <selection activeCell="C15" sqref="C15"/>
    </sheetView>
  </sheetViews>
  <sheetFormatPr defaultRowHeight="15" x14ac:dyDescent="0.25"/>
  <cols>
    <col min="2" max="2" width="42.5703125" bestFit="1" customWidth="1"/>
    <col min="3" max="3" width="19" bestFit="1" customWidth="1"/>
    <col min="4" max="4" width="27.5703125" bestFit="1" customWidth="1"/>
  </cols>
  <sheetData>
    <row r="3" spans="2:4" x14ac:dyDescent="0.25">
      <c r="B3" s="1" t="s">
        <v>24</v>
      </c>
    </row>
    <row r="5" spans="2:4" x14ac:dyDescent="0.25">
      <c r="C5" s="7" t="s">
        <v>19</v>
      </c>
    </row>
    <row r="6" spans="2:4" x14ac:dyDescent="0.25">
      <c r="B6" t="s">
        <v>0</v>
      </c>
      <c r="C6" s="9">
        <v>2.9</v>
      </c>
    </row>
    <row r="7" spans="2:4" x14ac:dyDescent="0.25">
      <c r="B7" t="s">
        <v>1</v>
      </c>
      <c r="C7" s="9">
        <v>12</v>
      </c>
    </row>
    <row r="8" spans="2:4" x14ac:dyDescent="0.25">
      <c r="B8" t="s">
        <v>2</v>
      </c>
      <c r="C8" s="10">
        <v>3900</v>
      </c>
    </row>
    <row r="9" spans="2:4" x14ac:dyDescent="0.25">
      <c r="B9" t="s">
        <v>3</v>
      </c>
      <c r="C9" s="10">
        <v>1200</v>
      </c>
      <c r="D9" t="s">
        <v>4</v>
      </c>
    </row>
    <row r="10" spans="2:4" x14ac:dyDescent="0.25">
      <c r="B10" t="s">
        <v>5</v>
      </c>
      <c r="C10" s="4">
        <f>1000000*C6*(C8-C9)</f>
        <v>7830000000</v>
      </c>
    </row>
    <row r="11" spans="2:4" x14ac:dyDescent="0.25">
      <c r="B11" t="s">
        <v>6</v>
      </c>
      <c r="C11" s="4">
        <f t="shared" ref="C11" si="0">C10*0.8</f>
        <v>6264000000</v>
      </c>
    </row>
    <row r="12" spans="2:4" x14ac:dyDescent="0.25">
      <c r="B12" t="s">
        <v>21</v>
      </c>
      <c r="C12" s="14">
        <v>0.74</v>
      </c>
    </row>
    <row r="13" spans="2:4" x14ac:dyDescent="0.25">
      <c r="B13" t="s">
        <v>18</v>
      </c>
      <c r="C13" s="5">
        <f>C11*C12</f>
        <v>4635360000</v>
      </c>
    </row>
    <row r="14" spans="2:4" x14ac:dyDescent="0.25">
      <c r="B14" t="s">
        <v>7</v>
      </c>
      <c r="C14" s="5">
        <f>C13/C7</f>
        <v>386280000</v>
      </c>
    </row>
    <row r="15" spans="2:4" x14ac:dyDescent="0.25">
      <c r="B15" t="s">
        <v>20</v>
      </c>
      <c r="C15" s="11">
        <v>0.2</v>
      </c>
    </row>
    <row r="16" spans="2:4" x14ac:dyDescent="0.25">
      <c r="B16" t="s">
        <v>8</v>
      </c>
      <c r="C16" s="5">
        <f>C14*(1-C15)</f>
        <v>309024000</v>
      </c>
    </row>
    <row r="17" spans="2:3" x14ac:dyDescent="0.25">
      <c r="B17" t="s">
        <v>9</v>
      </c>
      <c r="C17" s="12">
        <v>0.1</v>
      </c>
    </row>
    <row r="18" spans="2:3" x14ac:dyDescent="0.25">
      <c r="B18" t="s">
        <v>10</v>
      </c>
      <c r="C18" s="5" cm="1">
        <f t="array" aca="1" ref="C18" ca="1">SUMPRODUCT(C16/(1+C17)^(ROW(INDIRECT("1:"&amp;C7))))</f>
        <v>2105594301.8787458</v>
      </c>
    </row>
    <row r="19" spans="2:3" x14ac:dyDescent="0.25">
      <c r="B19" t="s">
        <v>11</v>
      </c>
      <c r="C19" s="13">
        <v>70000000</v>
      </c>
    </row>
    <row r="20" spans="2:3" x14ac:dyDescent="0.25">
      <c r="B20" t="s">
        <v>12</v>
      </c>
      <c r="C20" s="15">
        <v>9431369780</v>
      </c>
    </row>
    <row r="21" spans="2:3" x14ac:dyDescent="0.25">
      <c r="B21" t="s">
        <v>22</v>
      </c>
      <c r="C21" s="15">
        <v>162370259</v>
      </c>
    </row>
    <row r="22" spans="2:3" x14ac:dyDescent="0.25">
      <c r="B22" t="s">
        <v>23</v>
      </c>
      <c r="C22" s="5">
        <f>C21*0.007</f>
        <v>1136591.8130000001</v>
      </c>
    </row>
    <row r="23" spans="2:3" x14ac:dyDescent="0.25">
      <c r="B23" t="s">
        <v>13</v>
      </c>
      <c r="C23" s="6">
        <f ca="1">(C18+C19+C22)/(C20+C21)</f>
        <v>0.22689075218246554</v>
      </c>
    </row>
    <row r="24" spans="2:3" x14ac:dyDescent="0.25">
      <c r="B24" t="s">
        <v>14</v>
      </c>
      <c r="C24" s="11">
        <v>0.1</v>
      </c>
    </row>
    <row r="25" spans="2:3" x14ac:dyDescent="0.25">
      <c r="B25" s="2" t="s">
        <v>15</v>
      </c>
      <c r="C25" s="8">
        <f ca="1">C23*(1-C24)</f>
        <v>0.20420167696421898</v>
      </c>
    </row>
    <row r="26" spans="2:3" x14ac:dyDescent="0.25">
      <c r="B26" t="s">
        <v>16</v>
      </c>
      <c r="C26" s="11">
        <v>0.2</v>
      </c>
    </row>
    <row r="27" spans="2:3" x14ac:dyDescent="0.25">
      <c r="B27" s="2" t="s">
        <v>17</v>
      </c>
      <c r="C27" s="16">
        <f ca="1">C25*(1-C26)</f>
        <v>0.16336134157137519</v>
      </c>
    </row>
    <row r="30" spans="2:3" x14ac:dyDescent="0.25">
      <c r="C30" s="3"/>
    </row>
  </sheetData>
  <sheetProtection sheet="1" objects="1" scenarios="1" formatCell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NPV (Sep '25)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Buchanan</dc:creator>
  <cp:lastModifiedBy>Stephen Buchanan</cp:lastModifiedBy>
  <dcterms:created xsi:type="dcterms:W3CDTF">2025-09-15T14:55:15Z</dcterms:created>
  <dcterms:modified xsi:type="dcterms:W3CDTF">2025-09-24T09:08:44Z</dcterms:modified>
</cp:coreProperties>
</file>